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anetechnologies-my.sharepoint.com/personal/alex_rivera_trane_com/Documents/Desktop/"/>
    </mc:Choice>
  </mc:AlternateContent>
  <xr:revisionPtr revIDLastSave="0" documentId="8_{67530668-E108-458D-B8A2-67319804E309}" xr6:coauthVersionLast="47" xr6:coauthVersionMax="47" xr10:uidLastSave="{00000000-0000-0000-0000-000000000000}"/>
  <bookViews>
    <workbookView xWindow="-120" yWindow="-120" windowWidth="29040" windowHeight="15720" xr2:uid="{58EE2DC5-1484-4C3F-A614-397008F2C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K31" i="1"/>
  <c r="K30" i="1"/>
  <c r="K29" i="1"/>
  <c r="K28" i="1"/>
  <c r="K27" i="1"/>
  <c r="K23" i="1"/>
  <c r="K22" i="1"/>
  <c r="K21" i="1"/>
  <c r="K20" i="1"/>
  <c r="K19" i="1"/>
  <c r="K18" i="1"/>
  <c r="K17" i="1"/>
  <c r="K13" i="1"/>
  <c r="K12" i="1"/>
  <c r="K11" i="1"/>
  <c r="K10" i="1"/>
  <c r="K9" i="1"/>
  <c r="K8" i="1"/>
  <c r="K7" i="1"/>
</calcChain>
</file>

<file path=xl/sharedStrings.xml><?xml version="1.0" encoding="utf-8"?>
<sst xmlns="http://schemas.openxmlformats.org/spreadsheetml/2006/main" count="126" uniqueCount="56">
  <si>
    <t>Air Conditioner with 80% AFUE Gas Furnace and Cased Coil R-454b 14.3 SEER2 w/ fixed orifice</t>
  </si>
  <si>
    <t>Ton</t>
  </si>
  <si>
    <t>SEER2</t>
  </si>
  <si>
    <t>Max Amp</t>
  </si>
  <si>
    <t>Line Size</t>
  </si>
  <si>
    <t>Outdoor</t>
  </si>
  <si>
    <t>Price</t>
  </si>
  <si>
    <t>Indoor</t>
  </si>
  <si>
    <t>Coil w/ orifice</t>
  </si>
  <si>
    <t>Total</t>
  </si>
  <si>
    <t>Supplies#</t>
  </si>
  <si>
    <t>3/4" x 5/16"</t>
  </si>
  <si>
    <t>5TTR4018A1</t>
  </si>
  <si>
    <t>S8X1A040M3PSC</t>
  </si>
  <si>
    <t>5TXCA001AS3</t>
  </si>
  <si>
    <t>5TTR4024A1</t>
  </si>
  <si>
    <t>5TXCA002AS3</t>
  </si>
  <si>
    <t>5TTR4030A1</t>
  </si>
  <si>
    <t>S8X1B060M4PSC</t>
  </si>
  <si>
    <t>5TXCB003AS3</t>
  </si>
  <si>
    <t>5TTR4036A1</t>
  </si>
  <si>
    <t>7/8" x 5/16"</t>
  </si>
  <si>
    <t>5TTR4042A1</t>
  </si>
  <si>
    <t>S8X1B080M4PSC</t>
  </si>
  <si>
    <t>5TXCB004AS3</t>
  </si>
  <si>
    <t>35/45</t>
  </si>
  <si>
    <t>5TTR4048A1</t>
  </si>
  <si>
    <t>5TXCB006AS3</t>
  </si>
  <si>
    <t>5TTR4060A1</t>
  </si>
  <si>
    <t>S8X1C100M5PSC</t>
  </si>
  <si>
    <t>5TXCC009AS3</t>
  </si>
  <si>
    <t>Air Conditioner with Air Handler and Heat Kit R-454b 14.3 SEER2</t>
  </si>
  <si>
    <t>Coil w/ TXV</t>
  </si>
  <si>
    <t>5TEM4B02AC21S</t>
  </si>
  <si>
    <t>BAYHTR1505</t>
  </si>
  <si>
    <t>5TEM4B02AC3AS</t>
  </si>
  <si>
    <t>BAYHTR1508</t>
  </si>
  <si>
    <t>5TEM4B04AC31S</t>
  </si>
  <si>
    <t>5TEM4D05AC41S</t>
  </si>
  <si>
    <t>BAYHTR1510</t>
  </si>
  <si>
    <t>BAYHTR1517</t>
  </si>
  <si>
    <t>5TEM4D06AC41S</t>
  </si>
  <si>
    <t>5TEM4D07AC51S</t>
  </si>
  <si>
    <t>BAYHTR1523</t>
  </si>
  <si>
    <t>Heat Pump with Air Handler and Heat Kit R-454b 14.3 SEER2</t>
  </si>
  <si>
    <t>Heat Kit</t>
  </si>
  <si>
    <t>5TWR4018A1</t>
  </si>
  <si>
    <t>5TWR4024A1</t>
  </si>
  <si>
    <t>5TEM4B03AC31AS</t>
  </si>
  <si>
    <t>5TWR4030A1</t>
  </si>
  <si>
    <t>5TEM4D04AC31S</t>
  </si>
  <si>
    <t>5TWR4036A1</t>
  </si>
  <si>
    <t>5TWR4042A1</t>
  </si>
  <si>
    <t>5TWR4048A1</t>
  </si>
  <si>
    <t>5TWR4060A1</t>
  </si>
  <si>
    <t>Trane System Match-Ups - 14.3 SEER2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</si>
</sst>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0.0"/>
    <numFmt numFmtId="165" formatCode="_([$$-409]* #,##0.00_);_([$$-409]* \(#,##0.00\);_([$$-409]* &quot;-&quot;??_);_(@_)"/>
    <numFmt numFmtId="166" formatCode="&quot;$&quot;#,##0.00"/>
    <numFmt numFmtId="167" formatCode="&quot;$&quot;#,##0"/>
    <numFmt numFmtId="168" formatCode="_(&quot;$&quot;* #,##0_);_(&quot;$&quot;* \(#,##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color indexed="9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2" fontId="0" fillId="2" borderId="0" xfId="0" applyNumberFormat="1" applyFill="1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2" fontId="4" fillId="4" borderId="5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0" fontId="4" fillId="4" borderId="7" xfId="0" applyFont="1" applyFill="1" applyBorder="1"/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5" fillId="4" borderId="11" xfId="1" applyFont="1" applyFill="1" applyBorder="1" applyAlignment="1">
      <alignment horizontal="center"/>
    </xf>
    <xf numFmtId="164" fontId="6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65" fontId="6" fillId="0" borderId="13" xfId="2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66" fontId="6" fillId="0" borderId="13" xfId="2" applyNumberFormat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166" fontId="8" fillId="0" borderId="13" xfId="2" applyNumberFormat="1" applyFont="1" applyBorder="1" applyAlignment="1">
      <alignment horizontal="center" vertical="center"/>
    </xf>
    <xf numFmtId="167" fontId="5" fillId="0" borderId="14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4" fontId="6" fillId="5" borderId="12" xfId="0" applyNumberFormat="1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1" fontId="6" fillId="5" borderId="13" xfId="0" applyNumberFormat="1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165" fontId="6" fillId="5" borderId="13" xfId="2" applyNumberFormat="1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166" fontId="6" fillId="5" borderId="13" xfId="2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6" fontId="8" fillId="5" borderId="13" xfId="2" applyNumberFormat="1" applyFont="1" applyFill="1" applyBorder="1" applyAlignment="1">
      <alignment horizontal="center" vertical="center"/>
    </xf>
    <xf numFmtId="167" fontId="5" fillId="5" borderId="14" xfId="0" applyNumberFormat="1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66" fontId="8" fillId="0" borderId="15" xfId="2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1" fontId="6" fillId="0" borderId="17" xfId="0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165" fontId="6" fillId="0" borderId="17" xfId="2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66" fontId="6" fillId="0" borderId="17" xfId="2" applyNumberFormat="1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6" fontId="8" fillId="0" borderId="17" xfId="2" applyNumberFormat="1" applyFont="1" applyBorder="1" applyAlignment="1">
      <alignment horizontal="center" vertical="center"/>
    </xf>
    <xf numFmtId="167" fontId="5" fillId="0" borderId="18" xfId="0" applyNumberFormat="1" applyFont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4" fillId="2" borderId="0" xfId="0" applyFont="1" applyFill="1" applyAlignment="1">
      <alignment wrapText="1"/>
    </xf>
    <xf numFmtId="168" fontId="8" fillId="2" borderId="0" xfId="2" applyNumberFormat="1" applyFont="1" applyFill="1" applyBorder="1" applyAlignment="1">
      <alignment horizontal="center"/>
    </xf>
    <xf numFmtId="2" fontId="4" fillId="4" borderId="20" xfId="1" applyNumberFormat="1" applyFont="1" applyFill="1" applyBorder="1" applyAlignment="1">
      <alignment horizontal="center"/>
    </xf>
    <xf numFmtId="0" fontId="4" fillId="4" borderId="21" xfId="1" applyFont="1" applyFill="1" applyBorder="1" applyAlignment="1">
      <alignment horizontal="center"/>
    </xf>
    <xf numFmtId="0" fontId="4" fillId="4" borderId="8" xfId="1" applyFont="1" applyFill="1" applyBorder="1" applyAlignment="1">
      <alignment horizont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44" fontId="8" fillId="0" borderId="13" xfId="2" applyFont="1" applyBorder="1" applyAlignment="1">
      <alignment horizontal="center" vertical="center"/>
    </xf>
    <xf numFmtId="164" fontId="6" fillId="5" borderId="22" xfId="0" applyNumberFormat="1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44" fontId="8" fillId="5" borderId="13" xfId="2" applyFont="1" applyFill="1" applyBorder="1" applyAlignment="1">
      <alignment horizontal="center" vertical="center"/>
    </xf>
    <xf numFmtId="164" fontId="6" fillId="0" borderId="2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4" fontId="8" fillId="0" borderId="17" xfId="2" applyFont="1" applyBorder="1" applyAlignment="1">
      <alignment horizontal="center" vertical="center"/>
    </xf>
    <xf numFmtId="2" fontId="4" fillId="2" borderId="0" xfId="0" applyNumberFormat="1" applyFont="1" applyFill="1" applyAlignment="1">
      <alignment horizontal="left" wrapText="1"/>
    </xf>
    <xf numFmtId="0" fontId="4" fillId="2" borderId="0" xfId="0" applyFont="1" applyFill="1" applyAlignment="1">
      <alignment horizontal="left" wrapText="1"/>
    </xf>
    <xf numFmtId="164" fontId="4" fillId="2" borderId="0" xfId="0" applyNumberFormat="1" applyFont="1" applyFill="1" applyAlignment="1">
      <alignment horizontal="center" wrapText="1"/>
    </xf>
    <xf numFmtId="0" fontId="3" fillId="3" borderId="24" xfId="0" applyFont="1" applyFill="1" applyBorder="1"/>
    <xf numFmtId="0" fontId="3" fillId="3" borderId="25" xfId="0" applyFont="1" applyFill="1" applyBorder="1"/>
    <xf numFmtId="2" fontId="4" fillId="4" borderId="21" xfId="0" applyNumberFormat="1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168" fontId="6" fillId="0" borderId="13" xfId="2" applyNumberFormat="1" applyFont="1" applyBorder="1" applyAlignment="1">
      <alignment horizontal="center" vertical="center"/>
    </xf>
    <xf numFmtId="167" fontId="5" fillId="0" borderId="27" xfId="0" applyNumberFormat="1" applyFont="1" applyBorder="1" applyAlignment="1">
      <alignment horizontal="center" vertical="center"/>
    </xf>
    <xf numFmtId="168" fontId="6" fillId="5" borderId="13" xfId="2" applyNumberFormat="1" applyFont="1" applyFill="1" applyBorder="1" applyAlignment="1">
      <alignment horizontal="center" vertical="center"/>
    </xf>
    <xf numFmtId="168" fontId="6" fillId="0" borderId="17" xfId="2" applyNumberFormat="1" applyFont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0" fillId="2" borderId="28" xfId="0" applyFill="1" applyBorder="1"/>
  </cellXfs>
  <cellStyles count="3">
    <cellStyle name="Currency 2" xfId="2" xr:uid="{9BB48C4E-A1ED-4267-A058-9C5266FEB52A}"/>
    <cellStyle name="Normal" xfId="0" builtinId="0"/>
    <cellStyle name="Normal 2 2" xfId="1" xr:uid="{C8412CBB-995D-4953-A783-BC788B1C36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44451</xdr:colOff>
      <xdr:row>0</xdr:row>
      <xdr:rowOff>0</xdr:rowOff>
    </xdr:from>
    <xdr:to>
      <xdr:col>4</xdr:col>
      <xdr:colOff>31751</xdr:colOff>
      <xdr:row>2</xdr:row>
      <xdr:rowOff>179340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AF60CF-4A4D-47A6-9B7F-478E5828A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9751" y="0"/>
          <a:ext cx="1720850" cy="617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CAD0F-E123-4544-A499-5E70694860A1}">
  <dimension ref="A1:L34"/>
  <sheetViews>
    <sheetView tabSelected="1" workbookViewId="0">
      <selection activeCell="G12" sqref="G12"/>
    </sheetView>
  </sheetViews>
  <sheetFormatPr defaultRowHeight="15" x14ac:dyDescent="0.25"/>
  <cols>
    <col min="1" max="1" width="7.42578125" customWidth="1"/>
    <col min="2" max="2" width="7.5703125" customWidth="1"/>
    <col min="3" max="3" width="9.28515625" customWidth="1"/>
    <col min="5" max="5" width="14.140625" customWidth="1"/>
    <col min="7" max="7" width="15.140625" customWidth="1"/>
    <col min="9" max="9" width="13.42578125" customWidth="1"/>
  </cols>
  <sheetData>
    <row r="1" spans="1:12" x14ac:dyDescent="0.25">
      <c r="A1" s="1"/>
      <c r="B1" s="2"/>
      <c r="C1" s="3"/>
      <c r="D1" s="2"/>
      <c r="E1" s="4"/>
      <c r="F1" s="2"/>
      <c r="G1" s="2"/>
      <c r="H1" s="2"/>
      <c r="I1" s="2"/>
      <c r="J1" s="2"/>
      <c r="K1" s="2"/>
      <c r="L1" s="2"/>
    </row>
    <row r="2" spans="1:12" ht="20.25" x14ac:dyDescent="0.3">
      <c r="A2" s="1"/>
      <c r="B2" s="2"/>
      <c r="C2" s="3"/>
      <c r="D2" s="2"/>
      <c r="E2" s="5" t="s">
        <v>55</v>
      </c>
      <c r="F2" s="5"/>
      <c r="G2" s="5"/>
      <c r="H2" s="5"/>
      <c r="I2" s="5"/>
      <c r="J2" s="5"/>
      <c r="K2" s="2"/>
      <c r="L2" s="2"/>
    </row>
    <row r="3" spans="1:12" x14ac:dyDescent="0.25">
      <c r="A3" s="1"/>
      <c r="B3" s="2"/>
      <c r="C3" s="3"/>
      <c r="D3" s="2"/>
      <c r="E3" s="2"/>
      <c r="F3" s="2"/>
      <c r="G3" s="2"/>
      <c r="H3" s="2"/>
      <c r="I3" s="2"/>
      <c r="J3" s="2"/>
      <c r="K3" s="2"/>
      <c r="L3" s="2"/>
    </row>
    <row r="4" spans="1:12" ht="15.75" thickBot="1" x14ac:dyDescent="0.3">
      <c r="A4" s="1"/>
      <c r="B4" s="2"/>
      <c r="C4" s="3"/>
      <c r="D4" s="2"/>
      <c r="E4" s="2"/>
      <c r="F4" s="2"/>
      <c r="G4" s="2"/>
      <c r="H4" s="2"/>
      <c r="I4" s="2"/>
      <c r="J4" s="2"/>
      <c r="K4" s="2"/>
      <c r="L4" s="2"/>
    </row>
    <row r="5" spans="1:12" ht="21.75" thickBot="1" x14ac:dyDescent="0.4">
      <c r="A5" s="6" t="s">
        <v>0</v>
      </c>
      <c r="B5" s="7"/>
      <c r="C5" s="7"/>
      <c r="D5" s="7"/>
      <c r="E5" s="7"/>
      <c r="F5" s="7"/>
      <c r="G5" s="7"/>
      <c r="H5" s="7"/>
      <c r="I5" s="7"/>
      <c r="J5" s="7"/>
      <c r="K5" s="8"/>
      <c r="L5" s="9"/>
    </row>
    <row r="6" spans="1:12" x14ac:dyDescent="0.25">
      <c r="A6" s="10" t="s">
        <v>1</v>
      </c>
      <c r="B6" s="11" t="s">
        <v>2</v>
      </c>
      <c r="C6" s="12" t="s">
        <v>3</v>
      </c>
      <c r="D6" s="13" t="s">
        <v>4</v>
      </c>
      <c r="E6" s="11" t="s">
        <v>5</v>
      </c>
      <c r="F6" s="11" t="s">
        <v>6</v>
      </c>
      <c r="G6" s="14" t="s">
        <v>7</v>
      </c>
      <c r="H6" s="11" t="s">
        <v>6</v>
      </c>
      <c r="I6" s="11" t="s">
        <v>8</v>
      </c>
      <c r="J6" s="15" t="s">
        <v>6</v>
      </c>
      <c r="K6" s="16" t="s">
        <v>9</v>
      </c>
      <c r="L6" s="17" t="s">
        <v>10</v>
      </c>
    </row>
    <row r="7" spans="1:12" x14ac:dyDescent="0.25">
      <c r="A7" s="18">
        <v>1.5</v>
      </c>
      <c r="B7" s="19">
        <v>14.3</v>
      </c>
      <c r="C7" s="20">
        <v>20</v>
      </c>
      <c r="D7" s="20" t="s">
        <v>11</v>
      </c>
      <c r="E7" s="21" t="s">
        <v>12</v>
      </c>
      <c r="F7" s="22">
        <v>1847.05</v>
      </c>
      <c r="G7" s="23" t="s">
        <v>13</v>
      </c>
      <c r="H7" s="24">
        <v>1205.4000000000001</v>
      </c>
      <c r="I7" s="25" t="s">
        <v>14</v>
      </c>
      <c r="J7" s="26">
        <v>748.25</v>
      </c>
      <c r="K7" s="27">
        <f>SUM(J7,F7,H7)</f>
        <v>3800.7000000000003</v>
      </c>
      <c r="L7" s="28">
        <v>1</v>
      </c>
    </row>
    <row r="8" spans="1:12" x14ac:dyDescent="0.25">
      <c r="A8" s="29">
        <v>2</v>
      </c>
      <c r="B8" s="30">
        <v>14.3</v>
      </c>
      <c r="C8" s="31">
        <v>25</v>
      </c>
      <c r="D8" s="31" t="s">
        <v>11</v>
      </c>
      <c r="E8" s="32" t="s">
        <v>15</v>
      </c>
      <c r="F8" s="33">
        <v>1936.23</v>
      </c>
      <c r="G8" s="34" t="s">
        <v>13</v>
      </c>
      <c r="H8" s="35">
        <v>1205</v>
      </c>
      <c r="I8" s="36" t="s">
        <v>16</v>
      </c>
      <c r="J8" s="37">
        <v>755.43</v>
      </c>
      <c r="K8" s="38">
        <f t="shared" ref="K8:K13" si="0">SUM(J8,F8,H8)</f>
        <v>3896.66</v>
      </c>
      <c r="L8" s="39">
        <v>1</v>
      </c>
    </row>
    <row r="9" spans="1:12" x14ac:dyDescent="0.25">
      <c r="A9" s="18">
        <v>2.5</v>
      </c>
      <c r="B9" s="19">
        <v>14.3</v>
      </c>
      <c r="C9" s="20">
        <v>25</v>
      </c>
      <c r="D9" s="20" t="s">
        <v>11</v>
      </c>
      <c r="E9" s="21" t="s">
        <v>17</v>
      </c>
      <c r="F9" s="22">
        <v>2024.38</v>
      </c>
      <c r="G9" s="23" t="s">
        <v>18</v>
      </c>
      <c r="H9" s="24">
        <v>1264.8499999999999</v>
      </c>
      <c r="I9" s="40" t="s">
        <v>19</v>
      </c>
      <c r="J9" s="41">
        <v>762</v>
      </c>
      <c r="K9" s="27">
        <f t="shared" si="0"/>
        <v>4051.23</v>
      </c>
      <c r="L9" s="28">
        <v>2</v>
      </c>
    </row>
    <row r="10" spans="1:12" x14ac:dyDescent="0.25">
      <c r="A10" s="29">
        <v>3</v>
      </c>
      <c r="B10" s="30">
        <v>14.3</v>
      </c>
      <c r="C10" s="31">
        <v>30</v>
      </c>
      <c r="D10" s="31" t="s">
        <v>11</v>
      </c>
      <c r="E10" s="32" t="s">
        <v>20</v>
      </c>
      <c r="F10" s="33">
        <v>2115.6</v>
      </c>
      <c r="G10" s="34" t="s">
        <v>18</v>
      </c>
      <c r="H10" s="35">
        <v>1264.8499999999999</v>
      </c>
      <c r="I10" s="36" t="s">
        <v>19</v>
      </c>
      <c r="J10" s="37">
        <v>762</v>
      </c>
      <c r="K10" s="38">
        <f t="shared" si="0"/>
        <v>4142.45</v>
      </c>
      <c r="L10" s="39">
        <v>2</v>
      </c>
    </row>
    <row r="11" spans="1:12" x14ac:dyDescent="0.25">
      <c r="A11" s="18">
        <v>3.5</v>
      </c>
      <c r="B11" s="19">
        <v>14.3</v>
      </c>
      <c r="C11" s="20">
        <v>30</v>
      </c>
      <c r="D11" s="20" t="s">
        <v>21</v>
      </c>
      <c r="E11" s="21" t="s">
        <v>22</v>
      </c>
      <c r="F11" s="22">
        <v>2236.5500000000002</v>
      </c>
      <c r="G11" s="23" t="s">
        <v>23</v>
      </c>
      <c r="H11" s="24">
        <v>1304.83</v>
      </c>
      <c r="I11" s="42" t="s">
        <v>24</v>
      </c>
      <c r="J11" s="26">
        <v>775.93</v>
      </c>
      <c r="K11" s="27">
        <f t="shared" si="0"/>
        <v>4317.3099999999995</v>
      </c>
      <c r="L11" s="28">
        <v>3</v>
      </c>
    </row>
    <row r="12" spans="1:12" x14ac:dyDescent="0.25">
      <c r="A12" s="29">
        <v>4</v>
      </c>
      <c r="B12" s="30">
        <v>14.3</v>
      </c>
      <c r="C12" s="30" t="s">
        <v>25</v>
      </c>
      <c r="D12" s="31" t="s">
        <v>21</v>
      </c>
      <c r="E12" s="32" t="s">
        <v>26</v>
      </c>
      <c r="F12" s="33">
        <v>2353.4</v>
      </c>
      <c r="G12" s="34" t="s">
        <v>23</v>
      </c>
      <c r="H12" s="35">
        <v>1304.83</v>
      </c>
      <c r="I12" s="36" t="s">
        <v>27</v>
      </c>
      <c r="J12" s="37">
        <v>854</v>
      </c>
      <c r="K12" s="38">
        <f t="shared" si="0"/>
        <v>4512.2299999999996</v>
      </c>
      <c r="L12" s="39">
        <v>3</v>
      </c>
    </row>
    <row r="13" spans="1:12" ht="15.75" thickBot="1" x14ac:dyDescent="0.3">
      <c r="A13" s="43">
        <v>5</v>
      </c>
      <c r="B13" s="44">
        <v>14.3</v>
      </c>
      <c r="C13" s="45">
        <v>50</v>
      </c>
      <c r="D13" s="45" t="s">
        <v>21</v>
      </c>
      <c r="E13" s="46" t="s">
        <v>28</v>
      </c>
      <c r="F13" s="47">
        <v>2597.35</v>
      </c>
      <c r="G13" s="48" t="s">
        <v>29</v>
      </c>
      <c r="H13" s="49">
        <v>1379.65</v>
      </c>
      <c r="I13" s="50" t="s">
        <v>30</v>
      </c>
      <c r="J13" s="51">
        <v>854</v>
      </c>
      <c r="K13" s="52">
        <f t="shared" si="0"/>
        <v>4831</v>
      </c>
      <c r="L13" s="53">
        <v>4</v>
      </c>
    </row>
    <row r="14" spans="1:12" ht="15.75" thickBot="1" x14ac:dyDescent="0.3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ht="21.75" thickBot="1" x14ac:dyDescent="0.4">
      <c r="A15" s="6" t="s">
        <v>31</v>
      </c>
      <c r="B15" s="6"/>
      <c r="C15" s="7"/>
      <c r="D15" s="7"/>
      <c r="E15" s="7"/>
      <c r="F15" s="7"/>
      <c r="G15" s="7"/>
      <c r="H15" s="7"/>
      <c r="I15" s="7"/>
      <c r="J15" s="7"/>
      <c r="K15" s="8"/>
      <c r="L15" s="9"/>
    </row>
    <row r="16" spans="1:12" x14ac:dyDescent="0.25">
      <c r="A16" s="56" t="s">
        <v>1</v>
      </c>
      <c r="B16" s="57" t="s">
        <v>2</v>
      </c>
      <c r="C16" s="12" t="s">
        <v>3</v>
      </c>
      <c r="D16" s="13" t="s">
        <v>4</v>
      </c>
      <c r="E16" s="58" t="s">
        <v>5</v>
      </c>
      <c r="F16" s="58" t="s">
        <v>6</v>
      </c>
      <c r="G16" s="58" t="s">
        <v>7</v>
      </c>
      <c r="H16" s="58" t="s">
        <v>6</v>
      </c>
      <c r="I16" s="11" t="s">
        <v>32</v>
      </c>
      <c r="J16" s="15" t="s">
        <v>6</v>
      </c>
      <c r="K16" s="16" t="s">
        <v>9</v>
      </c>
      <c r="L16" s="17" t="s">
        <v>10</v>
      </c>
    </row>
    <row r="17" spans="1:12" x14ac:dyDescent="0.25">
      <c r="A17" s="59">
        <v>1.5</v>
      </c>
      <c r="B17" s="60">
        <v>14.3</v>
      </c>
      <c r="C17" s="20">
        <v>20</v>
      </c>
      <c r="D17" s="20" t="s">
        <v>11</v>
      </c>
      <c r="E17" s="21" t="s">
        <v>12</v>
      </c>
      <c r="F17" s="22">
        <v>1847.05</v>
      </c>
      <c r="G17" s="23" t="s">
        <v>33</v>
      </c>
      <c r="H17" s="24">
        <v>1256.6500000000001</v>
      </c>
      <c r="I17" s="25" t="s">
        <v>34</v>
      </c>
      <c r="J17" s="61">
        <v>113</v>
      </c>
      <c r="K17" s="27">
        <f>SUM(J17,F17,H17)</f>
        <v>3216.7</v>
      </c>
      <c r="L17" s="28">
        <v>5</v>
      </c>
    </row>
    <row r="18" spans="1:12" x14ac:dyDescent="0.25">
      <c r="A18" s="62">
        <v>2</v>
      </c>
      <c r="B18" s="63">
        <v>14.3</v>
      </c>
      <c r="C18" s="31">
        <v>25</v>
      </c>
      <c r="D18" s="31" t="s">
        <v>11</v>
      </c>
      <c r="E18" s="32" t="s">
        <v>15</v>
      </c>
      <c r="F18" s="33">
        <v>1936.23</v>
      </c>
      <c r="G18" s="34" t="s">
        <v>35</v>
      </c>
      <c r="H18" s="35">
        <v>1256.6500000000001</v>
      </c>
      <c r="I18" s="36" t="s">
        <v>36</v>
      </c>
      <c r="J18" s="64">
        <v>128</v>
      </c>
      <c r="K18" s="38">
        <f t="shared" ref="K18:K23" si="1">SUM(J18,F18,H18)</f>
        <v>3320.88</v>
      </c>
      <c r="L18" s="39">
        <v>5</v>
      </c>
    </row>
    <row r="19" spans="1:12" x14ac:dyDescent="0.25">
      <c r="A19" s="59">
        <v>2.5</v>
      </c>
      <c r="B19" s="60">
        <v>14.3</v>
      </c>
      <c r="C19" s="20">
        <v>25</v>
      </c>
      <c r="D19" s="20" t="s">
        <v>11</v>
      </c>
      <c r="E19" s="21" t="s">
        <v>17</v>
      </c>
      <c r="F19" s="22">
        <v>2024.38</v>
      </c>
      <c r="G19" s="23" t="s">
        <v>37</v>
      </c>
      <c r="H19" s="24">
        <v>1441.15</v>
      </c>
      <c r="I19" s="40" t="s">
        <v>36</v>
      </c>
      <c r="J19" s="61">
        <v>128</v>
      </c>
      <c r="K19" s="27">
        <f t="shared" si="1"/>
        <v>3593.53</v>
      </c>
      <c r="L19" s="28">
        <v>5</v>
      </c>
    </row>
    <row r="20" spans="1:12" x14ac:dyDescent="0.25">
      <c r="A20" s="62">
        <v>3</v>
      </c>
      <c r="B20" s="63">
        <v>14.3</v>
      </c>
      <c r="C20" s="31">
        <v>30</v>
      </c>
      <c r="D20" s="31" t="s">
        <v>11</v>
      </c>
      <c r="E20" s="32" t="s">
        <v>20</v>
      </c>
      <c r="F20" s="33">
        <v>2115.6</v>
      </c>
      <c r="G20" s="34" t="s">
        <v>38</v>
      </c>
      <c r="H20" s="35">
        <v>1568.25</v>
      </c>
      <c r="I20" s="36" t="s">
        <v>39</v>
      </c>
      <c r="J20" s="64">
        <v>134</v>
      </c>
      <c r="K20" s="38">
        <f t="shared" si="1"/>
        <v>3817.85</v>
      </c>
      <c r="L20" s="39">
        <v>6</v>
      </c>
    </row>
    <row r="21" spans="1:12" x14ac:dyDescent="0.25">
      <c r="A21" s="59">
        <v>3.5</v>
      </c>
      <c r="B21" s="60">
        <v>14.3</v>
      </c>
      <c r="C21" s="20">
        <v>30</v>
      </c>
      <c r="D21" s="20" t="s">
        <v>21</v>
      </c>
      <c r="E21" s="21" t="s">
        <v>22</v>
      </c>
      <c r="F21" s="22">
        <v>2236.5500000000002</v>
      </c>
      <c r="G21" s="23" t="s">
        <v>38</v>
      </c>
      <c r="H21" s="24">
        <v>1568.25</v>
      </c>
      <c r="I21" s="42" t="s">
        <v>40</v>
      </c>
      <c r="J21" s="61">
        <v>187</v>
      </c>
      <c r="K21" s="27">
        <f t="shared" si="1"/>
        <v>3991.8</v>
      </c>
      <c r="L21" s="28">
        <v>6</v>
      </c>
    </row>
    <row r="22" spans="1:12" x14ac:dyDescent="0.25">
      <c r="A22" s="62">
        <v>4</v>
      </c>
      <c r="B22" s="63">
        <v>14.3</v>
      </c>
      <c r="C22" s="30" t="s">
        <v>25</v>
      </c>
      <c r="D22" s="31" t="s">
        <v>21</v>
      </c>
      <c r="E22" s="32" t="s">
        <v>26</v>
      </c>
      <c r="F22" s="33">
        <v>2353.4</v>
      </c>
      <c r="G22" s="34" t="s">
        <v>41</v>
      </c>
      <c r="H22" s="35">
        <v>1611.3</v>
      </c>
      <c r="I22" s="36" t="s">
        <v>40</v>
      </c>
      <c r="J22" s="64">
        <v>187</v>
      </c>
      <c r="K22" s="38">
        <f t="shared" si="1"/>
        <v>4151.7</v>
      </c>
      <c r="L22" s="39">
        <v>6</v>
      </c>
    </row>
    <row r="23" spans="1:12" ht="15.75" thickBot="1" x14ac:dyDescent="0.3">
      <c r="A23" s="65">
        <v>5</v>
      </c>
      <c r="B23" s="66">
        <v>14.3</v>
      </c>
      <c r="C23" s="45">
        <v>50</v>
      </c>
      <c r="D23" s="45" t="s">
        <v>21</v>
      </c>
      <c r="E23" s="46" t="s">
        <v>28</v>
      </c>
      <c r="F23" s="47">
        <v>2597.35</v>
      </c>
      <c r="G23" s="48" t="s">
        <v>42</v>
      </c>
      <c r="H23" s="49">
        <v>2554.3000000000002</v>
      </c>
      <c r="I23" s="50" t="s">
        <v>43</v>
      </c>
      <c r="J23" s="67">
        <v>228</v>
      </c>
      <c r="K23" s="52">
        <f t="shared" si="1"/>
        <v>5379.65</v>
      </c>
      <c r="L23" s="53">
        <v>6</v>
      </c>
    </row>
    <row r="24" spans="1:12" ht="15.75" thickBot="1" x14ac:dyDescent="0.3">
      <c r="A24" s="68"/>
      <c r="B24" s="69"/>
      <c r="C24" s="70"/>
      <c r="D24" s="69"/>
      <c r="E24" s="69"/>
      <c r="F24" s="69"/>
      <c r="G24" s="69"/>
      <c r="H24" s="69"/>
      <c r="I24" s="69"/>
      <c r="J24" s="69"/>
      <c r="K24" s="69"/>
      <c r="L24" s="55"/>
    </row>
    <row r="25" spans="1:12" ht="21.75" thickBot="1" x14ac:dyDescent="0.4">
      <c r="A25" s="71" t="s">
        <v>44</v>
      </c>
      <c r="B25" s="72"/>
      <c r="C25" s="72"/>
      <c r="D25" s="72"/>
      <c r="E25" s="72"/>
      <c r="F25" s="72"/>
      <c r="G25" s="72"/>
      <c r="H25" s="72"/>
      <c r="I25" s="72"/>
      <c r="J25" s="72"/>
      <c r="K25" s="9"/>
      <c r="L25" s="9"/>
    </row>
    <row r="26" spans="1:12" ht="15.75" thickBot="1" x14ac:dyDescent="0.3">
      <c r="A26" s="73" t="s">
        <v>1</v>
      </c>
      <c r="B26" s="14" t="s">
        <v>2</v>
      </c>
      <c r="C26" s="12" t="s">
        <v>3</v>
      </c>
      <c r="D26" s="13" t="s">
        <v>4</v>
      </c>
      <c r="E26" s="11" t="s">
        <v>5</v>
      </c>
      <c r="F26" s="11" t="s">
        <v>6</v>
      </c>
      <c r="G26" s="11" t="s">
        <v>7</v>
      </c>
      <c r="H26" s="11" t="s">
        <v>6</v>
      </c>
      <c r="I26" s="11" t="s">
        <v>45</v>
      </c>
      <c r="J26" s="11" t="s">
        <v>6</v>
      </c>
      <c r="K26" s="74" t="s">
        <v>9</v>
      </c>
      <c r="L26" s="17" t="s">
        <v>10</v>
      </c>
    </row>
    <row r="27" spans="1:12" x14ac:dyDescent="0.25">
      <c r="A27" s="18">
        <v>1.5</v>
      </c>
      <c r="B27" s="19">
        <v>14.3</v>
      </c>
      <c r="C27" s="20">
        <v>20</v>
      </c>
      <c r="D27" s="20" t="s">
        <v>11</v>
      </c>
      <c r="E27" s="21" t="s">
        <v>46</v>
      </c>
      <c r="F27" s="75">
        <v>2370.83</v>
      </c>
      <c r="G27" s="23" t="s">
        <v>33</v>
      </c>
      <c r="H27" s="24">
        <v>1256.6500000000001</v>
      </c>
      <c r="I27" s="25" t="s">
        <v>34</v>
      </c>
      <c r="J27" s="61">
        <v>113</v>
      </c>
      <c r="K27" s="76">
        <f>SUM(J27,F27,H27)</f>
        <v>3740.48</v>
      </c>
      <c r="L27" s="28">
        <v>5</v>
      </c>
    </row>
    <row r="28" spans="1:12" x14ac:dyDescent="0.25">
      <c r="A28" s="29">
        <v>2</v>
      </c>
      <c r="B28" s="30">
        <v>14.3</v>
      </c>
      <c r="C28" s="31">
        <v>25</v>
      </c>
      <c r="D28" s="31" t="s">
        <v>11</v>
      </c>
      <c r="E28" s="32" t="s">
        <v>47</v>
      </c>
      <c r="F28" s="77">
        <v>2457.9499999999998</v>
      </c>
      <c r="G28" s="34" t="s">
        <v>48</v>
      </c>
      <c r="H28" s="35">
        <v>1256.6500000000001</v>
      </c>
      <c r="I28" s="36" t="s">
        <v>36</v>
      </c>
      <c r="J28" s="64">
        <v>128</v>
      </c>
      <c r="K28" s="38">
        <f t="shared" ref="K28:K33" si="2">SUM(J28,F28,H28)</f>
        <v>3842.6</v>
      </c>
      <c r="L28" s="39">
        <v>5</v>
      </c>
    </row>
    <row r="29" spans="1:12" x14ac:dyDescent="0.25">
      <c r="A29" s="18">
        <v>2.5</v>
      </c>
      <c r="B29" s="19">
        <v>14.3</v>
      </c>
      <c r="C29" s="20">
        <v>25</v>
      </c>
      <c r="D29" s="20" t="s">
        <v>11</v>
      </c>
      <c r="E29" s="21" t="s">
        <v>49</v>
      </c>
      <c r="F29" s="75">
        <v>2579.1799999999998</v>
      </c>
      <c r="G29" s="23" t="s">
        <v>50</v>
      </c>
      <c r="H29" s="24">
        <v>1441.15</v>
      </c>
      <c r="I29" s="40" t="s">
        <v>36</v>
      </c>
      <c r="J29" s="61">
        <v>128</v>
      </c>
      <c r="K29" s="27">
        <f t="shared" si="2"/>
        <v>4148.33</v>
      </c>
      <c r="L29" s="28">
        <v>6</v>
      </c>
    </row>
    <row r="30" spans="1:12" x14ac:dyDescent="0.25">
      <c r="A30" s="29">
        <v>3</v>
      </c>
      <c r="B30" s="30">
        <v>14.3</v>
      </c>
      <c r="C30" s="31">
        <v>30</v>
      </c>
      <c r="D30" s="31" t="s">
        <v>11</v>
      </c>
      <c r="E30" s="32" t="s">
        <v>51</v>
      </c>
      <c r="F30" s="77">
        <v>2639</v>
      </c>
      <c r="G30" s="34" t="s">
        <v>38</v>
      </c>
      <c r="H30" s="35">
        <v>1568.25</v>
      </c>
      <c r="I30" s="36" t="s">
        <v>39</v>
      </c>
      <c r="J30" s="64">
        <v>134</v>
      </c>
      <c r="K30" s="38">
        <f t="shared" si="2"/>
        <v>4341.25</v>
      </c>
      <c r="L30" s="39">
        <v>6</v>
      </c>
    </row>
    <row r="31" spans="1:12" x14ac:dyDescent="0.25">
      <c r="A31" s="18">
        <v>3.5</v>
      </c>
      <c r="B31" s="19">
        <v>14.3</v>
      </c>
      <c r="C31" s="20">
        <v>40</v>
      </c>
      <c r="D31" s="20" t="s">
        <v>21</v>
      </c>
      <c r="E31" s="21" t="s">
        <v>52</v>
      </c>
      <c r="F31" s="75">
        <v>2762</v>
      </c>
      <c r="G31" s="23" t="s">
        <v>38</v>
      </c>
      <c r="H31" s="24">
        <v>1568.25</v>
      </c>
      <c r="I31" s="42" t="s">
        <v>40</v>
      </c>
      <c r="J31" s="61">
        <v>187</v>
      </c>
      <c r="K31" s="27">
        <f t="shared" si="2"/>
        <v>4517.25</v>
      </c>
      <c r="L31" s="28">
        <v>6</v>
      </c>
    </row>
    <row r="32" spans="1:12" x14ac:dyDescent="0.25">
      <c r="A32" s="29">
        <v>4</v>
      </c>
      <c r="B32" s="30">
        <v>14.3</v>
      </c>
      <c r="C32" s="31">
        <v>40</v>
      </c>
      <c r="D32" s="31" t="s">
        <v>21</v>
      </c>
      <c r="E32" s="32" t="s">
        <v>53</v>
      </c>
      <c r="F32" s="77">
        <v>2881</v>
      </c>
      <c r="G32" s="34" t="s">
        <v>41</v>
      </c>
      <c r="H32" s="35">
        <v>1611.3</v>
      </c>
      <c r="I32" s="36" t="s">
        <v>40</v>
      </c>
      <c r="J32" s="64">
        <v>187</v>
      </c>
      <c r="K32" s="38">
        <f t="shared" si="2"/>
        <v>4679.3</v>
      </c>
      <c r="L32" s="39">
        <v>6</v>
      </c>
    </row>
    <row r="33" spans="1:12" ht="15.75" thickBot="1" x14ac:dyDescent="0.3">
      <c r="A33" s="43">
        <v>5</v>
      </c>
      <c r="B33" s="44">
        <v>14.3</v>
      </c>
      <c r="C33" s="45">
        <v>50</v>
      </c>
      <c r="D33" s="45" t="s">
        <v>21</v>
      </c>
      <c r="E33" s="46" t="s">
        <v>54</v>
      </c>
      <c r="F33" s="78">
        <v>3115</v>
      </c>
      <c r="G33" s="48" t="s">
        <v>42</v>
      </c>
      <c r="H33" s="49">
        <v>2554.3000000000002</v>
      </c>
      <c r="I33" s="50" t="s">
        <v>43</v>
      </c>
      <c r="J33" s="67">
        <v>228</v>
      </c>
      <c r="K33" s="52">
        <f t="shared" si="2"/>
        <v>5897.3</v>
      </c>
      <c r="L33" s="53">
        <v>6</v>
      </c>
    </row>
    <row r="34" spans="1:12" x14ac:dyDescent="0.25">
      <c r="A34" s="79"/>
      <c r="B34" s="79"/>
      <c r="C34" s="80"/>
      <c r="D34" s="69"/>
      <c r="E34" s="69"/>
      <c r="F34" s="69"/>
      <c r="G34" s="69"/>
      <c r="H34" s="69"/>
      <c r="I34" s="69"/>
      <c r="J34" s="2"/>
      <c r="K34" s="81"/>
      <c r="L34" s="55"/>
    </row>
  </sheetData>
  <mergeCells count="1">
    <mergeCell ref="E2:J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Rivera, Alex</dc:creator>
  <cp:lastModifiedBy>Rivera, Alex</cp:lastModifiedBy>
  <dcterms:created xsi:type="dcterms:W3CDTF">2026-07-15T19:53:10Z</dcterms:created>
  <dcterms:modified xsi:type="dcterms:W3CDTF">2026-07-15T19:57:30Z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62845b5-9b70-49d7-b944-decf2d49c436_Enabled">
    <vt:lpwstr>true</vt:lpwstr>
  </property>
  <property fmtid="{D5CDD505-2E9C-101B-9397-08002B2CF9AE}" pid="3" name="MSIP_Label_962845b5-9b70-49d7-b944-decf2d49c436_SetDate">
    <vt:lpwstr>2026-07-15T19:54:07Z</vt:lpwstr>
  </property>
  <property fmtid="{D5CDD505-2E9C-101B-9397-08002B2CF9AE}" pid="4" name="MSIP_Label_962845b5-9b70-49d7-b944-decf2d49c436_Method">
    <vt:lpwstr>Privileged</vt:lpwstr>
  </property>
  <property fmtid="{D5CDD505-2E9C-101B-9397-08002B2CF9AE}" pid="5" name="MSIP_Label_962845b5-9b70-49d7-b944-decf2d49c436_Name">
    <vt:lpwstr>Public</vt:lpwstr>
  </property>
  <property fmtid="{D5CDD505-2E9C-101B-9397-08002B2CF9AE}" pid="6" name="MSIP_Label_962845b5-9b70-49d7-b944-decf2d49c436_SiteId">
    <vt:lpwstr>abf9983b-ca77-4f20-9633-ca9c5a847041</vt:lpwstr>
  </property>
  <property fmtid="{D5CDD505-2E9C-101B-9397-08002B2CF9AE}" pid="7" name="MSIP_Label_962845b5-9b70-49d7-b944-decf2d49c436_ActionId">
    <vt:lpwstr>8e14dd1b-ef2c-40a9-a8ac-8f26375a976f</vt:lpwstr>
  </property>
  <property fmtid="{D5CDD505-2E9C-101B-9397-08002B2CF9AE}" pid="8" name="MSIP_Label_962845b5-9b70-49d7-b944-decf2d49c436_ContentBits">
    <vt:lpwstr>0</vt:lpwstr>
  </property>
  <property fmtid="{D5CDD505-2E9C-101B-9397-08002B2CF9AE}" pid="9" name="MSIP_Label_962845b5-9b70-49d7-b944-decf2d49c436_Tag">
    <vt:lpwstr>10, 0, 1, 1</vt:lpwstr>
  </property>
</Properties>
</file>